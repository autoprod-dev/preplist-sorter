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ef Fillet Sat" sheetId="1" r:id="rId1"/>
    <sheet name="Tuna Tartare Canapé" sheetId="2" r:id="rId2"/>
    <sheet name="Pavlova (GF) - Sunday Lunch Mkt" sheetId="3" r:id="rId3"/>
    <sheet name="Staff Me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Beef Fillet Sat</v>
      </c>
    </row>
    <row r="2">
      <c r="A2" t="str">
        <v>PAX</v>
      </c>
      <c r="B2">
        <v>80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Beef fillet trim and portion</v>
      </c>
      <c r="B4">
        <v>0.18</v>
      </c>
      <c r="C4" t="str">
        <v>kg</v>
      </c>
      <c r="D4">
        <f>B4*$B$2</f>
        <v>14.4</v>
      </c>
      <c r="E4" t="str">
        <v>Proteins</v>
      </c>
      <c r="F4" t="str">
        <v>Friday</v>
      </c>
    </row>
    <row r="5">
      <c r="A5" t="str">
        <v>Red wine jus</v>
      </c>
      <c r="B5">
        <v>0.05</v>
      </c>
      <c r="C5" t="str">
        <v>L</v>
      </c>
      <c r="D5">
        <f>B5*$B$2</f>
        <v>4</v>
      </c>
      <c r="E5" t="str">
        <v>Sauce, Purees and Gels</v>
      </c>
      <c r="F5" t="str">
        <v>Thursday</v>
      </c>
    </row>
    <row r="6">
      <c r="A6" t="str">
        <v>Carrots peel and batonnet</v>
      </c>
      <c r="B6">
        <v>0.06</v>
      </c>
      <c r="C6" t="str">
        <v>kg</v>
      </c>
      <c r="D6">
        <f>B6*$B$2</f>
        <v>4.8</v>
      </c>
      <c r="E6" t="str">
        <v>Vegetables</v>
      </c>
      <c r="F6" t="str">
        <v>Wednesday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Tuna Tartare Canapé</v>
      </c>
    </row>
    <row r="2">
      <c r="A2" t="str">
        <v>PAX</v>
      </c>
      <c r="B2">
        <v>150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Yellowfin tuna dice</v>
      </c>
      <c r="B4">
        <v>0.03</v>
      </c>
      <c r="C4" t="str">
        <v>kg</v>
      </c>
      <c r="D4">
        <f>B4*$B$2</f>
        <v>4.5</v>
      </c>
      <c r="E4" t="str">
        <v>Proteins</v>
      </c>
      <c r="F4" t="str">
        <v/>
      </c>
    </row>
    <row r="5">
      <c r="A5" t="str">
        <v>Wonton crisps fry</v>
      </c>
      <c r="B5">
        <v>2</v>
      </c>
      <c r="C5" t="str">
        <v>ea</v>
      </c>
      <c r="D5">
        <f>B5*$B$2</f>
        <v>300</v>
      </c>
      <c r="E5" t="str">
        <v>Proteins</v>
      </c>
      <c r="F5" t="str">
        <v/>
      </c>
    </row>
    <row r="6">
      <c r="A6" t="str">
        <v>Chives fine chop</v>
      </c>
      <c r="B6">
        <v>0.002</v>
      </c>
      <c r="C6" t="str">
        <v>kg</v>
      </c>
      <c r="D6">
        <f>B6*$B$2</f>
        <v>0.3</v>
      </c>
      <c r="E6" t="str">
        <v>Garnishes, Herbs, Powders, Oils Etc.</v>
      </c>
      <c r="F6" t="str">
        <v/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Pavlova (GF) - Sunday Lunch Mkt</v>
      </c>
    </row>
    <row r="2">
      <c r="A2" t="str">
        <v>PAX</v>
      </c>
      <c r="B2">
        <v>60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Meringue bake</v>
      </c>
      <c r="B4">
        <v>1</v>
      </c>
      <c r="C4" t="str">
        <v>ea</v>
      </c>
      <c r="D4">
        <f>B4*$B$2</f>
        <v>60</v>
      </c>
      <c r="E4" t="str">
        <v>Vegetables</v>
      </c>
      <c r="F4" t="str">
        <v>Friday</v>
      </c>
    </row>
    <row r="5">
      <c r="A5" t="str">
        <v>Cream whip</v>
      </c>
      <c r="B5">
        <v>0.04</v>
      </c>
      <c r="C5" t="str">
        <v>L</v>
      </c>
      <c r="D5">
        <f>B5*$B$2</f>
        <v>2.4</v>
      </c>
      <c r="E5" t="str">
        <v>Sauce, Purees and Gels</v>
      </c>
      <c r="F5" t="str">
        <v>Friday</v>
      </c>
    </row>
    <row r="6">
      <c r="A6" t="str">
        <v>Passionfruit pulp</v>
      </c>
      <c r="B6">
        <v>0.02</v>
      </c>
      <c r="C6" t="str">
        <v>L</v>
      </c>
      <c r="D6">
        <f>B6*$B$2</f>
        <v>1.2</v>
      </c>
      <c r="E6" t="str">
        <v>Sauce, Purees and Gels</v>
      </c>
      <c r="F6" t="str">
        <v>Friday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Chicken Curry</v>
      </c>
    </row>
    <row r="2">
      <c r="A2" t="str">
        <v>PAX</v>
      </c>
      <c r="B2">
        <v>30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Chicken thigh dice</v>
      </c>
      <c r="B4">
        <v>0.15</v>
      </c>
      <c r="C4" t="str">
        <v>kg</v>
      </c>
      <c r="D4">
        <f>B4*$B$2</f>
        <v>4.5</v>
      </c>
      <c r="E4" t="str">
        <v>Proteins</v>
      </c>
      <c r="F4" t="str">
        <v/>
      </c>
    </row>
    <row r="5">
      <c r="A5" t="str">
        <v>Onion slice</v>
      </c>
      <c r="B5">
        <v>0.05</v>
      </c>
      <c r="C5" t="str">
        <v>kg</v>
      </c>
      <c r="D5">
        <f>B5*$B$2</f>
        <v>1.5</v>
      </c>
      <c r="E5" t="str">
        <v>Vegetables</v>
      </c>
      <c r="F5" t="str">
        <v/>
      </c>
    </row>
    <row r="14">
      <c r="A14" t="str">
        <v>Steamed Rice</v>
      </c>
    </row>
    <row r="15">
      <c r="A15" t="str">
        <v>PAX</v>
      </c>
      <c r="B15">
        <v>30</v>
      </c>
    </row>
    <row r="16">
      <c r="A16" t="str">
        <v>Item</v>
      </c>
      <c r="B16" t="str">
        <v>Qty (per pax)</v>
      </c>
      <c r="C16" t="str">
        <v>Unit</v>
      </c>
      <c r="D16" t="str">
        <v>Total needed</v>
      </c>
      <c r="E16" t="str">
        <v>Section</v>
      </c>
      <c r="F16" t="str">
        <v>Prep day</v>
      </c>
    </row>
    <row r="17">
      <c r="A17" t="str">
        <v>Jasmine rice wash</v>
      </c>
      <c r="B17">
        <v>0.08</v>
      </c>
      <c r="C17" t="str">
        <v>kg</v>
      </c>
      <c r="D17">
        <f>B17*$B$15</f>
        <v>2.4</v>
      </c>
      <c r="E17" t="str">
        <v>Vegetables</v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Beef Fillet Sat</vt:lpstr>
      <vt:lpstr>Tuna Tartare Canapé</vt:lpstr>
      <vt:lpstr>Pavlova (GF) - Sunday Lunch Mkt</vt:lpstr>
      <vt:lpstr>Staff Meal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